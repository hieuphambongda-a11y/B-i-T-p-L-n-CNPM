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60.DoanManhHoa_25-02\"/>
    </mc:Choice>
  </mc:AlternateContent>
  <bookViews>
    <workbookView xWindow="0" yWindow="0" windowWidth="21570" windowHeight="8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9" i="1"/>
  <c r="H6" i="1"/>
  <c r="F26" i="1" s="1"/>
  <c r="C26" i="1"/>
  <c r="D13" i="1"/>
  <c r="D9" i="1"/>
  <c r="E26" i="1" l="1"/>
</calcChain>
</file>

<file path=xl/sharedStrings.xml><?xml version="1.0" encoding="utf-8"?>
<sst xmlns="http://schemas.openxmlformats.org/spreadsheetml/2006/main" count="48" uniqueCount="35">
  <si>
    <t>Tính toán cốt thép đai cho dầm tiết diện không đổi chịu tải</t>
  </si>
  <si>
    <t>phân bố đều theo phương pháp gần đúng</t>
  </si>
  <si>
    <t>1. Thông số tính toán</t>
  </si>
  <si>
    <t>Kích thước dầm :</t>
  </si>
  <si>
    <t>b =</t>
  </si>
  <si>
    <t>h =</t>
  </si>
  <si>
    <t>a =</t>
  </si>
  <si>
    <t>h0 =</t>
  </si>
  <si>
    <t>Tải trọng và lực cắt :</t>
  </si>
  <si>
    <t>q =</t>
  </si>
  <si>
    <t>p =</t>
  </si>
  <si>
    <t>q1 =</t>
  </si>
  <si>
    <t>Q =</t>
  </si>
  <si>
    <t>Vật liệu :</t>
  </si>
  <si>
    <t>Rb =</t>
  </si>
  <si>
    <t>Rbt =</t>
  </si>
  <si>
    <t>Rsw =</t>
  </si>
  <si>
    <t>Chọn đường kính đai :</t>
  </si>
  <si>
    <t>ф =</t>
  </si>
  <si>
    <t>Asw =</t>
  </si>
  <si>
    <t>Khoảng cách đai :</t>
  </si>
  <si>
    <t>Sct =</t>
  </si>
  <si>
    <t>Smax =</t>
  </si>
  <si>
    <t>mm</t>
  </si>
  <si>
    <t>kN/m</t>
  </si>
  <si>
    <t>kN</t>
  </si>
  <si>
    <t>MPa</t>
  </si>
  <si>
    <t>n =</t>
  </si>
  <si>
    <t>nhánh</t>
  </si>
  <si>
    <t>mm2</t>
  </si>
  <si>
    <t>2.Kiểm tra điều kiện ứng suất nén chính :</t>
  </si>
  <si>
    <t xml:space="preserve">Q = </t>
  </si>
  <si>
    <t xml:space="preserve"> b =</t>
  </si>
  <si>
    <t xml:space="preserve"> h0 =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</si>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</sst>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Times New Roman"/>
      <family val="2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view="pageLayout" zoomScaleNormal="100" workbookViewId="0">
      <selection activeCell="F26" sqref="F26"/>
    </sheetView>
  </sheetViews>
  <sheetFormatPr defaultRowHeight="15" x14ac:dyDescent="0.25"/>
  <cols>
    <col min="1" max="13" width="6.85546875" customWidth="1"/>
  </cols>
  <sheetData>
    <row r="1" spans="1:9" ht="15.75" customHeight="1" x14ac:dyDescent="0.25">
      <c r="C1" s="1"/>
      <c r="D1" t="s">
        <v>0</v>
      </c>
    </row>
    <row r="2" spans="1:9" x14ac:dyDescent="0.25">
      <c r="D2" t="s">
        <v>1</v>
      </c>
    </row>
    <row r="4" spans="1:9" x14ac:dyDescent="0.25">
      <c r="A4" s="3" t="s">
        <v>2</v>
      </c>
    </row>
    <row r="5" spans="1:9" x14ac:dyDescent="0.25">
      <c r="B5" t="s">
        <v>3</v>
      </c>
    </row>
    <row r="6" spans="1:9" x14ac:dyDescent="0.25">
      <c r="C6" t="s">
        <v>4</v>
      </c>
      <c r="D6">
        <v>220</v>
      </c>
      <c r="E6" t="s">
        <v>23</v>
      </c>
      <c r="G6" t="s">
        <v>32</v>
      </c>
      <c r="H6">
        <f>D6/1000</f>
        <v>0.22</v>
      </c>
      <c r="I6" t="s">
        <v>34</v>
      </c>
    </row>
    <row r="7" spans="1:9" x14ac:dyDescent="0.25">
      <c r="C7" t="s">
        <v>5</v>
      </c>
      <c r="D7">
        <v>500</v>
      </c>
      <c r="E7" t="s">
        <v>23</v>
      </c>
    </row>
    <row r="8" spans="1:9" x14ac:dyDescent="0.25">
      <c r="C8" t="s">
        <v>6</v>
      </c>
      <c r="D8">
        <v>50</v>
      </c>
      <c r="E8" t="s">
        <v>23</v>
      </c>
    </row>
    <row r="9" spans="1:9" x14ac:dyDescent="0.25">
      <c r="C9" t="s">
        <v>7</v>
      </c>
      <c r="D9">
        <f>D7-D8</f>
        <v>450</v>
      </c>
      <c r="E9" t="s">
        <v>23</v>
      </c>
      <c r="G9" t="s">
        <v>33</v>
      </c>
      <c r="H9">
        <f>D9/1000</f>
        <v>0.45</v>
      </c>
      <c r="I9" t="s">
        <v>34</v>
      </c>
    </row>
    <row r="10" spans="1:9" x14ac:dyDescent="0.25">
      <c r="B10" t="s">
        <v>8</v>
      </c>
    </row>
    <row r="11" spans="1:9" x14ac:dyDescent="0.25">
      <c r="C11" t="s">
        <v>9</v>
      </c>
      <c r="D11">
        <v>40</v>
      </c>
      <c r="E11" t="s">
        <v>24</v>
      </c>
    </row>
    <row r="12" spans="1:9" x14ac:dyDescent="0.25">
      <c r="C12" t="s">
        <v>10</v>
      </c>
      <c r="D12">
        <v>20</v>
      </c>
      <c r="E12" t="s">
        <v>24</v>
      </c>
    </row>
    <row r="13" spans="1:9" x14ac:dyDescent="0.25">
      <c r="C13" t="s">
        <v>11</v>
      </c>
      <c r="D13">
        <f>D11-0.5*D12</f>
        <v>30</v>
      </c>
      <c r="E13" t="s">
        <v>24</v>
      </c>
    </row>
    <row r="14" spans="1:9" x14ac:dyDescent="0.25">
      <c r="C14" t="s">
        <v>12</v>
      </c>
      <c r="D14">
        <v>120</v>
      </c>
      <c r="E14" t="s">
        <v>25</v>
      </c>
    </row>
    <row r="15" spans="1:9" x14ac:dyDescent="0.25">
      <c r="B15" t="s">
        <v>13</v>
      </c>
    </row>
    <row r="16" spans="1:9" x14ac:dyDescent="0.25">
      <c r="C16" t="s">
        <v>14</v>
      </c>
      <c r="D16">
        <v>11.5</v>
      </c>
      <c r="E16" t="s">
        <v>26</v>
      </c>
      <c r="G16" t="s">
        <v>14</v>
      </c>
      <c r="H16">
        <f>D16*100</f>
        <v>1150</v>
      </c>
      <c r="I16" t="s">
        <v>25</v>
      </c>
    </row>
    <row r="17" spans="1:8" x14ac:dyDescent="0.25">
      <c r="C17" t="s">
        <v>15</v>
      </c>
      <c r="D17">
        <v>0.9</v>
      </c>
      <c r="E17" t="s">
        <v>26</v>
      </c>
    </row>
    <row r="18" spans="1:8" x14ac:dyDescent="0.25">
      <c r="C18" t="s">
        <v>16</v>
      </c>
      <c r="D18">
        <v>170</v>
      </c>
      <c r="E18" t="s">
        <v>26</v>
      </c>
    </row>
    <row r="19" spans="1:8" x14ac:dyDescent="0.25">
      <c r="B19" t="s">
        <v>17</v>
      </c>
    </row>
    <row r="20" spans="1:8" x14ac:dyDescent="0.25">
      <c r="C20" s="2" t="s">
        <v>18</v>
      </c>
      <c r="D20">
        <v>6</v>
      </c>
      <c r="F20" t="s">
        <v>27</v>
      </c>
      <c r="G20">
        <v>2</v>
      </c>
      <c r="H20" t="s">
        <v>28</v>
      </c>
    </row>
    <row r="21" spans="1:8" x14ac:dyDescent="0.25">
      <c r="C21" s="2" t="s">
        <v>19</v>
      </c>
      <c r="D21">
        <v>56.6</v>
      </c>
      <c r="E21" t="s">
        <v>29</v>
      </c>
    </row>
    <row r="22" spans="1:8" x14ac:dyDescent="0.25">
      <c r="B22" t="s">
        <v>20</v>
      </c>
    </row>
    <row r="23" spans="1:8" x14ac:dyDescent="0.25">
      <c r="C23" t="s">
        <v>21</v>
      </c>
      <c r="D23">
        <v>220</v>
      </c>
      <c r="E23" t="s">
        <v>23</v>
      </c>
    </row>
    <row r="24" spans="1:8" x14ac:dyDescent="0.25">
      <c r="C24" t="s">
        <v>22</v>
      </c>
      <c r="D24">
        <v>335</v>
      </c>
      <c r="E24" t="s">
        <v>23</v>
      </c>
    </row>
    <row r="25" spans="1:8" x14ac:dyDescent="0.25">
      <c r="A25" s="3" t="s">
        <v>30</v>
      </c>
    </row>
    <row r="26" spans="1:8" x14ac:dyDescent="0.25">
      <c r="B26" t="s">
        <v>31</v>
      </c>
      <c r="C26">
        <f>D14</f>
        <v>120</v>
      </c>
      <c r="D26" t="s">
        <v>25</v>
      </c>
      <c r="E26" t="str">
        <f>IF(C26&gt;=F26,"&gt;=","&lt;")</f>
        <v>&gt;=</v>
      </c>
      <c r="F26">
        <f>0.3*H16*H6*H9</f>
        <v>34.155000000000001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2025-10-30T01:20:14Z</dcterms:created>
  <dcterms:modified xsi:type="dcterms:W3CDTF">2025-10-30T01:49:50Z</dcterms:modified>
</cp:coreProperties>
</file>